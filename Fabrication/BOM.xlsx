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1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<sst xmlns="http://schemas.openxmlformats.org/spreadsheetml/2006/main" count="82" uniqueCount="77">
  <si>
    <t>Designator</t>
  </si>
  <si>
    <t>Teil</t>
  </si>
  <si>
    <t>Size</t>
  </si>
  <si>
    <t>Hersteller</t>
  </si>
  <si>
    <t>Mouser</t>
  </si>
  <si>
    <t>Stk</t>
  </si>
  <si>
    <t>Preis/stk</t>
  </si>
  <si>
    <t>Preis/ges</t>
  </si>
  <si>
    <t>CC8530</t>
  </si>
  <si>
    <t>TI</t>
  </si>
  <si>
    <t>595-CC8530RHAR</t>
  </si>
  <si>
    <t>CC2590</t>
  </si>
  <si>
    <t>595-CC2590RGVR</t>
  </si>
  <si>
    <t>TLV320AIC3204</t>
  </si>
  <si>
    <t>595-V320AIC3204IRHBR</t>
  </si>
  <si>
    <t>CC-Debugger</t>
  </si>
  <si>
    <t>595-CC-DEBUGGER</t>
  </si>
  <si>
    <t>1u</t>
  </si>
  <si>
    <t>963-EMK105BJ105KV-F</t>
  </si>
  <si>
    <t>10u</t>
  </si>
  <si>
    <t>791-0603X106M100CT</t>
  </si>
  <si>
    <t>2u2</t>
  </si>
  <si>
    <t>963-LMK105BJ225KV-F</t>
  </si>
  <si>
    <t>47u</t>
  </si>
  <si>
    <t>810-C3216X5R0J476M</t>
  </si>
  <si>
    <t>33p</t>
  </si>
  <si>
    <t>710-885012005058</t>
  </si>
  <si>
    <t>10uF</t>
  </si>
  <si>
    <t>963-JMK107ABJ106MA-T</t>
  </si>
  <si>
    <t>220p</t>
  </si>
  <si>
    <t>710-885012205057</t>
  </si>
  <si>
    <t>100n</t>
  </si>
  <si>
    <t>710-885012105010</t>
  </si>
  <si>
    <t>1n</t>
  </si>
  <si>
    <t>710-885012205044</t>
  </si>
  <si>
    <t>18p</t>
  </si>
  <si>
    <t>77-VJ0402A180JXJPBC</t>
  </si>
  <si>
    <t>L1</t>
  </si>
  <si>
    <t>10uH</t>
  </si>
  <si>
    <t>81-LQH31MN100K03L</t>
  </si>
  <si>
    <t>L*</t>
  </si>
  <si>
    <t>6n8</t>
  </si>
  <si>
    <t>963-HK10056N8J-T</t>
  </si>
  <si>
    <t>0R</t>
  </si>
  <si>
    <t>71-CRCW04020000Z0EDC</t>
  </si>
  <si>
    <t>2k2</t>
  </si>
  <si>
    <t>603-RC0402JR-072K2L</t>
  </si>
  <si>
    <t>330K</t>
  </si>
  <si>
    <t>667-ERJ-2GEJ334X</t>
  </si>
  <si>
    <t>270R</t>
  </si>
  <si>
    <t>667-ERJ-2GEJ271X</t>
  </si>
  <si>
    <t>100K</t>
  </si>
  <si>
    <t>603-RC0402JR-13100KL</t>
  </si>
  <si>
    <t>10k</t>
  </si>
  <si>
    <t>71-CRCW040210K0JNEDC</t>
  </si>
  <si>
    <t>56k</t>
  </si>
  <si>
    <t>279-CRGP0402F56K</t>
  </si>
  <si>
    <t>47k</t>
  </si>
  <si>
    <t>71-CRCW040247K0JNEDC</t>
  </si>
  <si>
    <t>4k3</t>
  </si>
  <si>
    <t>603-AC0402FR-074K3L</t>
  </si>
  <si>
    <t>MOLEX USB</t>
  </si>
  <si>
    <t>538-51387-0578</t>
  </si>
  <si>
    <t>FSM2JSMAATR</t>
  </si>
  <si>
    <t>TE</t>
  </si>
  <si>
    <t>506-FSM2JSMAATR</t>
  </si>
  <si>
    <t>BQ25015</t>
  </si>
  <si>
    <t>595-BQ25015RHLR</t>
  </si>
  <si>
    <t>SN74AHC1G32DCKR</t>
  </si>
  <si>
    <t>595-SN74AHC1G32DCKR</t>
  </si>
  <si>
    <t>XRCGB48M000F4M00R0</t>
  </si>
  <si>
    <t>muRata</t>
  </si>
  <si>
    <t>81-XRCGB48M000F4M0R0</t>
  </si>
  <si>
    <t>SJ1-43516</t>
  </si>
  <si>
    <t>490-SJ-43515TS</t>
  </si>
  <si>
    <t>Overall</t>
  </si>
  <si>
    <t>€</t>
  </si>
</sst>
</file>

<file path=xl/styles.xml><?xml version="1.0" encoding="utf-8"?>
<styleSheet xmlns="http://schemas.openxmlformats.org/spreadsheetml/2006/main">
  <numFmts count="5">
    <numFmt numFmtId="176" formatCode="0.00_ "/>
    <numFmt numFmtId="177" formatCode="_ * #,##0.00_ ;_ * \-#,##0.00_ ;_ * &quot;-&quot;??_ ;_ @_ "/>
    <numFmt numFmtId="178" formatCode="_(&quot;$&quot;* #,##0.00_);_(&quot;$&quot;* \(#,##0.00\);_(&quot;$&quot;* &quot;-&quot;??_);_(@_)"/>
    <numFmt numFmtId="179" formatCode="_ * #,##0_ ;_ * \-#,##0_ ;_ * &quot;-&quot;_ ;_ @_ "/>
    <numFmt numFmtId="180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8"/>
      <color rgb="FF000000"/>
      <name val="Segoe UI"/>
      <charset val="134"/>
    </font>
    <font>
      <b/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6" fillId="20" borderId="2" applyNumberFormat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NumberFormat="1" applyFont="1"/>
    <xf numFmtId="176" fontId="0" fillId="0" borderId="0" xfId="0" applyNumberFormat="1"/>
    <xf numFmtId="0" fontId="0" fillId="0" borderId="0" xfId="0" quotePrefix="1"/>
  </cellXfs>
  <cellStyles count="49">
    <cellStyle name="Normal" xfId="0" builtinId="0"/>
    <cellStyle name="Überschrift 1" xfId="1" builtinId="16"/>
    <cellStyle name="Komma" xfId="2" builtinId="3"/>
    <cellStyle name="40% - Akzent4" xfId="3" builtinId="43"/>
    <cellStyle name="Besuchter Hyperlink" xfId="4" builtinId="9"/>
    <cellStyle name="Akzent2" xfId="5" builtinId="33"/>
    <cellStyle name="Währung" xfId="6" builtinId="4"/>
    <cellStyle name="Prozent" xfId="7" builtinId="5"/>
    <cellStyle name="Akzent4" xfId="8" builtinId="41"/>
    <cellStyle name="Komma[0]" xfId="9" builtinId="6"/>
    <cellStyle name="Währung[0]" xfId="10" builtinId="7"/>
    <cellStyle name="Hyperlink" xfId="11" builtinId="8"/>
    <cellStyle name="Eingabe" xfId="12" builtinId="20"/>
    <cellStyle name="Hinweis" xfId="13" builtinId="10"/>
    <cellStyle name="Warnmeldung" xfId="14" builtinId="11"/>
    <cellStyle name="Akzent5" xfId="15" builtinId="45"/>
    <cellStyle name="Titel" xfId="16" builtinId="15"/>
    <cellStyle name="CExplanatory Text" xfId="17" builtinId="53"/>
    <cellStyle name="Überschrift 2" xfId="18" builtinId="17"/>
    <cellStyle name="Überschrift 3" xfId="19" builtinId="18"/>
    <cellStyle name="Überschrift 4" xfId="20" builtinId="19"/>
    <cellStyle name="Ausgabe" xfId="21" builtinId="21"/>
    <cellStyle name="40% - Akzent2" xfId="22" builtinId="35"/>
    <cellStyle name="Gesamt" xfId="23" builtinId="25"/>
    <cellStyle name="Berechnung" xfId="24" builtinId="22"/>
    <cellStyle name="Zelle überprüfen" xfId="25" builtinId="23"/>
    <cellStyle name="Verknüpfte Zelle" xfId="26" builtinId="24"/>
    <cellStyle name="Gut" xfId="27" builtinId="26"/>
    <cellStyle name="40% - Akzent3" xfId="28" builtinId="39"/>
    <cellStyle name="Schlecht" xfId="29" builtinId="27"/>
    <cellStyle name="60% - Akzent6" xfId="30" builtinId="52"/>
    <cellStyle name="Neutral" xfId="31" builtinId="28"/>
    <cellStyle name="Akzent1" xfId="32" builtinId="29"/>
    <cellStyle name="20% - Akzent1" xfId="33" builtinId="30"/>
    <cellStyle name="40% - Akzent1" xfId="34" builtinId="31"/>
    <cellStyle name="20% - Akzent5" xfId="35" builtinId="46"/>
    <cellStyle name="60% - Akzent1" xfId="36" builtinId="32"/>
    <cellStyle name="20% - Akzent2" xfId="37" builtinId="34"/>
    <cellStyle name="20% - Akzent6" xfId="38" builtinId="50"/>
    <cellStyle name="60% - Akzent2" xfId="39" builtinId="36"/>
    <cellStyle name="Akzent3" xfId="40" builtinId="37"/>
    <cellStyle name="20% - Akzent3" xfId="41" builtinId="38"/>
    <cellStyle name="60% - Akzent3" xfId="42" builtinId="40"/>
    <cellStyle name="20% - Akzent4" xfId="43" builtinId="42"/>
    <cellStyle name="60% - Akzent4" xfId="44" builtinId="44"/>
    <cellStyle name="40% - Akzent5" xfId="45" builtinId="47"/>
    <cellStyle name="60% - Akzent5" xfId="46" builtinId="48"/>
    <cellStyle name="Akzent6" xfId="47" builtinId="49"/>
    <cellStyle name="40% - Akzent6" xfId="48" builtin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8"/>
  <sheetViews>
    <sheetView tabSelected="1" workbookViewId="0">
      <selection activeCell="L20" sqref="L20"/>
    </sheetView>
  </sheetViews>
  <sheetFormatPr defaultColWidth="9" defaultRowHeight="15"/>
  <cols>
    <col min="1" max="1" width="13.2857142857143" customWidth="1"/>
    <col min="2" max="2" width="18.5904761904762" customWidth="1"/>
    <col min="3" max="3" width="13.152380952381" customWidth="1"/>
    <col min="4" max="4" width="21.9142857142857" customWidth="1"/>
    <col min="5" max="5" width="24.7142857142857" customWidth="1"/>
    <col min="7" max="7" width="10.5333333333333"/>
  </cols>
  <sheetData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4" spans="2:8">
      <c r="B4" t="s">
        <v>8</v>
      </c>
      <c r="D4" t="s">
        <v>9</v>
      </c>
      <c r="E4" t="s">
        <v>10</v>
      </c>
      <c r="F4">
        <v>2</v>
      </c>
      <c r="G4">
        <v>5.81</v>
      </c>
      <c r="H4">
        <f t="shared" ref="H4:H34" si="0">F4*G4</f>
        <v>11.62</v>
      </c>
    </row>
    <row r="5" spans="2:8">
      <c r="B5" t="s">
        <v>11</v>
      </c>
      <c r="D5" t="s">
        <v>9</v>
      </c>
      <c r="E5" t="s">
        <v>12</v>
      </c>
      <c r="F5">
        <v>2</v>
      </c>
      <c r="G5">
        <v>2.52</v>
      </c>
      <c r="H5">
        <f t="shared" si="0"/>
        <v>5.04</v>
      </c>
    </row>
    <row r="6" spans="2:8">
      <c r="B6" t="s">
        <v>13</v>
      </c>
      <c r="D6" t="s">
        <v>9</v>
      </c>
      <c r="E6" t="s">
        <v>14</v>
      </c>
      <c r="F6">
        <v>2</v>
      </c>
      <c r="G6">
        <v>4.3</v>
      </c>
      <c r="H6">
        <f t="shared" si="0"/>
        <v>8.6</v>
      </c>
    </row>
    <row r="7" spans="2:8">
      <c r="B7" t="s">
        <v>15</v>
      </c>
      <c r="D7" t="s">
        <v>9</v>
      </c>
      <c r="E7" t="s">
        <v>16</v>
      </c>
      <c r="F7">
        <v>1</v>
      </c>
      <c r="G7">
        <v>50.45</v>
      </c>
      <c r="H7">
        <f t="shared" si="0"/>
        <v>50.45</v>
      </c>
    </row>
    <row r="8" spans="1:8">
      <c r="A8" s="1"/>
      <c r="B8" t="s">
        <v>17</v>
      </c>
      <c r="C8">
        <v>402</v>
      </c>
      <c r="E8" t="s">
        <v>18</v>
      </c>
      <c r="F8">
        <v>50</v>
      </c>
      <c r="G8">
        <v>0.04</v>
      </c>
      <c r="H8">
        <f t="shared" si="0"/>
        <v>2</v>
      </c>
    </row>
    <row r="9" spans="2:8">
      <c r="B9" s="5" t="s">
        <v>19</v>
      </c>
      <c r="C9">
        <v>603</v>
      </c>
      <c r="E9" t="s">
        <v>20</v>
      </c>
      <c r="F9">
        <v>50</v>
      </c>
      <c r="G9">
        <v>0.077</v>
      </c>
      <c r="H9">
        <f t="shared" si="0"/>
        <v>3.85</v>
      </c>
    </row>
    <row r="10" spans="2:8">
      <c r="B10" s="5" t="s">
        <v>21</v>
      </c>
      <c r="C10">
        <v>402</v>
      </c>
      <c r="E10" t="s">
        <v>22</v>
      </c>
      <c r="F10">
        <v>100</v>
      </c>
      <c r="G10">
        <v>0.027</v>
      </c>
      <c r="H10">
        <f t="shared" si="0"/>
        <v>2.7</v>
      </c>
    </row>
    <row r="11" spans="2:8">
      <c r="B11" s="5" t="s">
        <v>23</v>
      </c>
      <c r="C11">
        <v>1206</v>
      </c>
      <c r="E11" t="s">
        <v>24</v>
      </c>
      <c r="F11">
        <v>10</v>
      </c>
      <c r="G11">
        <v>0.194</v>
      </c>
      <c r="H11">
        <f t="shared" si="0"/>
        <v>1.94</v>
      </c>
    </row>
    <row r="12" spans="2:8">
      <c r="B12" s="5" t="s">
        <v>25</v>
      </c>
      <c r="C12">
        <v>402</v>
      </c>
      <c r="E12" t="s">
        <v>26</v>
      </c>
      <c r="F12">
        <v>50</v>
      </c>
      <c r="G12">
        <v>0.05</v>
      </c>
      <c r="H12">
        <f t="shared" si="0"/>
        <v>2.5</v>
      </c>
    </row>
    <row r="13" spans="2:8">
      <c r="B13" s="5" t="s">
        <v>27</v>
      </c>
      <c r="C13">
        <v>603</v>
      </c>
      <c r="E13" t="s">
        <v>28</v>
      </c>
      <c r="F13">
        <v>100</v>
      </c>
      <c r="G13">
        <v>0.034</v>
      </c>
      <c r="H13">
        <f t="shared" si="0"/>
        <v>3.4</v>
      </c>
    </row>
    <row r="14" spans="2:8">
      <c r="B14" s="5" t="s">
        <v>29</v>
      </c>
      <c r="C14">
        <v>402</v>
      </c>
      <c r="E14" t="s">
        <v>30</v>
      </c>
      <c r="F14">
        <v>50</v>
      </c>
      <c r="G14">
        <v>0.02</v>
      </c>
      <c r="H14">
        <f t="shared" si="0"/>
        <v>1</v>
      </c>
    </row>
    <row r="15" spans="2:8">
      <c r="B15" s="5" t="s">
        <v>31</v>
      </c>
      <c r="C15">
        <v>402</v>
      </c>
      <c r="E15" t="s">
        <v>32</v>
      </c>
      <c r="F15">
        <v>50</v>
      </c>
      <c r="G15">
        <v>0.013</v>
      </c>
      <c r="H15">
        <f t="shared" si="0"/>
        <v>0.65</v>
      </c>
    </row>
    <row r="16" spans="2:8">
      <c r="B16" t="s">
        <v>33</v>
      </c>
      <c r="C16">
        <v>402</v>
      </c>
      <c r="E16" t="s">
        <v>34</v>
      </c>
      <c r="F16">
        <v>50</v>
      </c>
      <c r="G16">
        <v>0.013</v>
      </c>
      <c r="H16">
        <f t="shared" si="0"/>
        <v>0.65</v>
      </c>
    </row>
    <row r="17" spans="2:8">
      <c r="B17" t="s">
        <v>35</v>
      </c>
      <c r="C17">
        <v>402</v>
      </c>
      <c r="E17" t="s">
        <v>36</v>
      </c>
      <c r="F17">
        <v>100</v>
      </c>
      <c r="G17">
        <v>0.031</v>
      </c>
      <c r="H17">
        <f t="shared" si="0"/>
        <v>3.1</v>
      </c>
    </row>
    <row r="18" spans="1:8">
      <c r="A18" t="s">
        <v>37</v>
      </c>
      <c r="B18" t="s">
        <v>38</v>
      </c>
      <c r="C18">
        <v>1206</v>
      </c>
      <c r="E18" t="s">
        <v>39</v>
      </c>
      <c r="F18">
        <v>5</v>
      </c>
      <c r="G18">
        <v>0.684</v>
      </c>
      <c r="H18">
        <f t="shared" si="0"/>
        <v>3.42</v>
      </c>
    </row>
    <row r="19" spans="1:8">
      <c r="A19" t="s">
        <v>40</v>
      </c>
      <c r="B19" t="s">
        <v>41</v>
      </c>
      <c r="C19">
        <v>402</v>
      </c>
      <c r="E19" t="s">
        <v>42</v>
      </c>
      <c r="F19">
        <v>50</v>
      </c>
      <c r="G19">
        <v>0.06</v>
      </c>
      <c r="H19">
        <f t="shared" si="0"/>
        <v>3</v>
      </c>
    </row>
    <row r="20" spans="2:8">
      <c r="B20" s="5" t="s">
        <v>43</v>
      </c>
      <c r="C20">
        <v>402</v>
      </c>
      <c r="E20" t="s">
        <v>44</v>
      </c>
      <c r="F20">
        <v>100</v>
      </c>
      <c r="G20">
        <v>0.005</v>
      </c>
      <c r="H20">
        <f t="shared" si="0"/>
        <v>0.5</v>
      </c>
    </row>
    <row r="21" spans="2:8">
      <c r="B21" s="5" t="s">
        <v>45</v>
      </c>
      <c r="C21">
        <v>402</v>
      </c>
      <c r="E21" t="s">
        <v>46</v>
      </c>
      <c r="F21">
        <v>100</v>
      </c>
      <c r="G21">
        <v>0.004</v>
      </c>
      <c r="H21">
        <f t="shared" si="0"/>
        <v>0.4</v>
      </c>
    </row>
    <row r="22" spans="2:8">
      <c r="B22" s="5" t="s">
        <v>47</v>
      </c>
      <c r="C22">
        <v>402</v>
      </c>
      <c r="E22" t="s">
        <v>48</v>
      </c>
      <c r="F22">
        <v>100</v>
      </c>
      <c r="G22">
        <v>0.011</v>
      </c>
      <c r="H22">
        <f t="shared" si="0"/>
        <v>1.1</v>
      </c>
    </row>
    <row r="23" spans="2:8">
      <c r="B23" s="5" t="s">
        <v>49</v>
      </c>
      <c r="C23">
        <v>402</v>
      </c>
      <c r="E23" t="s">
        <v>50</v>
      </c>
      <c r="F23">
        <v>100</v>
      </c>
      <c r="G23">
        <v>0.011</v>
      </c>
      <c r="H23">
        <f t="shared" si="0"/>
        <v>1.1</v>
      </c>
    </row>
    <row r="24" spans="2:8">
      <c r="B24" s="5" t="s">
        <v>51</v>
      </c>
      <c r="C24">
        <v>402</v>
      </c>
      <c r="E24" t="s">
        <v>52</v>
      </c>
      <c r="F24">
        <v>100</v>
      </c>
      <c r="G24">
        <v>0.004</v>
      </c>
      <c r="H24">
        <f t="shared" si="0"/>
        <v>0.4</v>
      </c>
    </row>
    <row r="25" spans="2:8">
      <c r="B25" s="5" t="s">
        <v>53</v>
      </c>
      <c r="C25">
        <v>402</v>
      </c>
      <c r="E25" t="s">
        <v>54</v>
      </c>
      <c r="F25">
        <v>100</v>
      </c>
      <c r="G25">
        <v>0.005</v>
      </c>
      <c r="H25">
        <f t="shared" si="0"/>
        <v>0.5</v>
      </c>
    </row>
    <row r="26" spans="2:8">
      <c r="B26" s="5" t="s">
        <v>55</v>
      </c>
      <c r="C26">
        <v>402</v>
      </c>
      <c r="E26" t="s">
        <v>56</v>
      </c>
      <c r="F26">
        <v>100</v>
      </c>
      <c r="G26">
        <v>0.015</v>
      </c>
      <c r="H26">
        <f t="shared" si="0"/>
        <v>1.5</v>
      </c>
    </row>
    <row r="27" spans="2:8">
      <c r="B27" s="5" t="s">
        <v>57</v>
      </c>
      <c r="C27">
        <v>402</v>
      </c>
      <c r="E27" t="s">
        <v>58</v>
      </c>
      <c r="F27">
        <v>100</v>
      </c>
      <c r="G27">
        <v>0.006</v>
      </c>
      <c r="H27">
        <f t="shared" si="0"/>
        <v>0.6</v>
      </c>
    </row>
    <row r="28" spans="2:8">
      <c r="B28" s="5" t="s">
        <v>59</v>
      </c>
      <c r="C28">
        <v>402</v>
      </c>
      <c r="E28" t="s">
        <v>60</v>
      </c>
      <c r="F28">
        <v>100</v>
      </c>
      <c r="G28">
        <v>0.005</v>
      </c>
      <c r="H28">
        <f t="shared" si="0"/>
        <v>0.5</v>
      </c>
    </row>
    <row r="29" spans="2:8">
      <c r="B29" t="s">
        <v>61</v>
      </c>
      <c r="E29" t="s">
        <v>62</v>
      </c>
      <c r="F29">
        <v>5</v>
      </c>
      <c r="G29">
        <v>1.31</v>
      </c>
      <c r="H29">
        <f t="shared" si="0"/>
        <v>6.55</v>
      </c>
    </row>
    <row r="30" spans="2:8">
      <c r="B30" t="s">
        <v>63</v>
      </c>
      <c r="D30" t="s">
        <v>64</v>
      </c>
      <c r="E30" t="s">
        <v>65</v>
      </c>
      <c r="F30">
        <v>10</v>
      </c>
      <c r="G30">
        <v>0.234</v>
      </c>
      <c r="H30">
        <f t="shared" si="0"/>
        <v>2.34</v>
      </c>
    </row>
    <row r="31" spans="2:8">
      <c r="B31" t="s">
        <v>66</v>
      </c>
      <c r="D31" t="s">
        <v>9</v>
      </c>
      <c r="E31" t="s">
        <v>67</v>
      </c>
      <c r="F31">
        <v>2</v>
      </c>
      <c r="G31">
        <v>3.36</v>
      </c>
      <c r="H31">
        <f t="shared" si="0"/>
        <v>6.72</v>
      </c>
    </row>
    <row r="32" spans="2:8">
      <c r="B32" s="5" t="s">
        <v>68</v>
      </c>
      <c r="D32" t="s">
        <v>9</v>
      </c>
      <c r="E32" t="s">
        <v>69</v>
      </c>
      <c r="F32">
        <v>10</v>
      </c>
      <c r="G32">
        <v>0.216</v>
      </c>
      <c r="H32">
        <f t="shared" si="0"/>
        <v>2.16</v>
      </c>
    </row>
    <row r="33" spans="2:8">
      <c r="B33" t="s">
        <v>70</v>
      </c>
      <c r="D33" t="s">
        <v>71</v>
      </c>
      <c r="E33" t="s">
        <v>72</v>
      </c>
      <c r="F33">
        <v>10</v>
      </c>
      <c r="G33">
        <v>0.306</v>
      </c>
      <c r="H33">
        <f t="shared" si="0"/>
        <v>3.06</v>
      </c>
    </row>
    <row r="34" spans="2:8">
      <c r="B34" t="s">
        <v>73</v>
      </c>
      <c r="E34" t="s">
        <v>74</v>
      </c>
      <c r="F34">
        <v>5</v>
      </c>
      <c r="G34">
        <v>0.87</v>
      </c>
      <c r="H34">
        <f t="shared" si="0"/>
        <v>4.35</v>
      </c>
    </row>
    <row r="38" spans="6:9">
      <c r="F38" s="2" t="s">
        <v>75</v>
      </c>
      <c r="G38" s="2"/>
      <c r="H38" s="3">
        <f>SUM(H4:H34)</f>
        <v>135.7</v>
      </c>
      <c r="I38" t="s">
        <v>76</v>
      </c>
    </row>
    <row r="48" spans="8:8">
      <c r="H4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Schiel</dc:creator>
  <cp:lastModifiedBy>David</cp:lastModifiedBy>
  <dcterms:created xsi:type="dcterms:W3CDTF">2015-06-05T18:17:00Z</dcterms:created>
  <dcterms:modified xsi:type="dcterms:W3CDTF">2021-03-21T13:13:04Z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1031-11.2.0.10078</vt:lpwstr>
  </property>
</Properties>
</file>